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<sst xmlns="http://schemas.openxmlformats.org/spreadsheetml/2006/main" count="197" uniqueCount="73">
  <si>
    <t>Bid Summary Sample Source Spreadsheet</t>
  </si>
  <si>
    <t xml:space="preserve">Project Name : </t>
  </si>
  <si>
    <t>DeLorean Time Machine</t>
  </si>
  <si>
    <t>PIN :</t>
  </si>
  <si>
    <t>OUTATIME</t>
  </si>
  <si>
    <t>Project Number :</t>
  </si>
  <si>
    <t>Bid Opening Datetime :</t>
  </si>
  <si>
    <t>Base Estimate :</t>
  </si>
  <si>
    <r>
      <rPr>
        <rFont val="Arial"/>
        <b/>
        <color theme="1"/>
      </rPr>
      <t xml:space="preserve">Bid Summary Sample Source Spreadsheet    </t>
    </r>
    <r>
      <rPr>
        <rFont val="Arial"/>
        <color theme="1"/>
      </rPr>
      <t xml:space="preserve">    
Project Name :         DeLorean Time Machine
Project Number :        88
PIN :        OUTATIME
Region :        Region SW
Bid Opening Datetime :        10/26/1985 9:00 AM</t>
    </r>
  </si>
  <si>
    <t>Company</t>
  </si>
  <si>
    <r>
      <rPr>
        <rFont val="Arial"/>
        <b/>
        <color theme="1"/>
      </rPr>
      <t xml:space="preserve">Bid Summary Sample Source Spreadsheet        
</t>
    </r>
    <r>
      <rPr>
        <rFont val="Arial"/>
        <color theme="1"/>
      </rPr>
      <t>Project Name :         DeLorean Time Machine
Project Number :        88
PIN :        OUTATIME
Region :        Region SW
Bid Opening Datetime :        10/26/1985 9:00 AM</t>
    </r>
  </si>
  <si>
    <t>Estimate</t>
  </si>
  <si>
    <t>% of Base Estimate</t>
  </si>
  <si>
    <t>Base Estimate</t>
  </si>
  <si>
    <t>Bidder :
ACME</t>
  </si>
  <si>
    <t>ACME</t>
  </si>
  <si>
    <t>Bidder :
MomCorp</t>
  </si>
  <si>
    <t>Bidder :
Buy N Large</t>
  </si>
  <si>
    <t>Bidder :
Pizza Planet</t>
  </si>
  <si>
    <t>MomCorp</t>
  </si>
  <si>
    <t>Line No.</t>
  </si>
  <si>
    <t>Item No.</t>
  </si>
  <si>
    <t>Description</t>
  </si>
  <si>
    <t>Item Name</t>
  </si>
  <si>
    <t>Additive</t>
  </si>
  <si>
    <t>Qty</t>
  </si>
  <si>
    <t>Unit</t>
  </si>
  <si>
    <t>Unit Price</t>
  </si>
  <si>
    <t>Amount</t>
  </si>
  <si>
    <t>Buy n Large</t>
  </si>
  <si>
    <t>Base Vehicle and Core Power</t>
  </si>
  <si>
    <t>Pizza Planet</t>
  </si>
  <si>
    <t>DMC-12 DeLorean (1981–1983 model)</t>
  </si>
  <si>
    <t>Each</t>
  </si>
  <si>
    <t>Heavy-Duty Suspension Upgrades</t>
  </si>
  <si>
    <t>Industrial Roll-bar and Cabin Fire Suppression Bottle: $750</t>
  </si>
  <si>
    <t>Subtotal</t>
  </si>
  <si>
    <t>Temporal &amp; Electrical Systems</t>
  </si>
  <si>
    <t>Flux Capacitor</t>
  </si>
  <si>
    <t>Time Circuits (Dashboard LED readout &amp; keypad)</t>
  </si>
  <si>
    <t>Time Circuit Activation Switch</t>
  </si>
  <si>
    <t>Plutonium-powered Nuclear Reactor</t>
  </si>
  <si>
    <t>Plutonium Chamber / Radiation Scrubber casing</t>
  </si>
  <si>
    <t>Refined Plutonium</t>
  </si>
  <si>
    <t>STEAL</t>
  </si>
  <si>
    <t>Wormhole Emitter / Induction Coils</t>
  </si>
  <si>
    <t>Dash Relay Banks and Heatsinks</t>
  </si>
  <si>
    <t>Tachyon Pulse Conduits and Wiring Harnesses</t>
  </si>
  <si>
    <t>Exterior Gadetry &amp; Wiring</t>
  </si>
  <si>
    <t>Overhead Switch Console</t>
  </si>
  <si>
    <t>Flexible Wiring Conduits</t>
  </si>
  <si>
    <t>Aviation-grade Dash Gauges and Dials</t>
  </si>
  <si>
    <t>Plutonium Chamber Vents and Exhaust Flaps</t>
  </si>
  <si>
    <t>Aviation/Helicopter Turbine Blade Scraps</t>
  </si>
  <si>
    <t>Heavy-Duty Radar Discs / Antennae</t>
  </si>
  <si>
    <t>"OUTATIME" California License Plate</t>
  </si>
  <si>
    <t>Lightning Rod Assembly (1955 modification)</t>
  </si>
  <si>
    <t>Sikorsky Helicopter Engine Exhaust Ducts</t>
  </si>
  <si>
    <t>Rear Deck Cooling Fan (Torin Blower)</t>
  </si>
  <si>
    <t>Crossover Tubes and Heavy-Duty Manufactured Clamps</t>
  </si>
  <si>
    <t>Future Upgrades (2015 Add-ons)</t>
  </si>
  <si>
    <t>Hover Conversion Undercarriage Thrusters: Anti-gravity flight capable</t>
  </si>
  <si>
    <t>Mr. Fusion mounting bracket &amp; integration harness</t>
  </si>
  <si>
    <t xml:space="preserve">Mr. Fusion Home Energy Reactor </t>
  </si>
  <si>
    <t>Digital Speedometer / 88 mph Audio Warning Alarm</t>
  </si>
  <si>
    <t>Labor</t>
  </si>
  <si>
    <t>Contract Time</t>
  </si>
  <si>
    <t>day</t>
  </si>
  <si>
    <t>60 day</t>
  </si>
  <si>
    <t>Base + Additive Price</t>
  </si>
  <si>
    <t>Base + Additive Time</t>
  </si>
  <si>
    <t>Total</t>
  </si>
  <si>
    <t>% of Baes Estimate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</si>
</sst>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 am/pm"/>
    <numFmt numFmtId="165" formatCode="&quot;$&quot;#,##0.00"/>
    <numFmt numFmtId="166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medium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readingOrder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horizontal="left" readingOrder="0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readingOrder="0"/>
    </xf>
    <xf borderId="6" fillId="0" fontId="3" numFmtId="0" xfId="0" applyBorder="1" applyFont="1"/>
    <xf borderId="5" fillId="2" fontId="1" numFmtId="0" xfId="0" applyAlignment="1" applyBorder="1" applyFont="1">
      <alignment readingOrder="0" shrinkToFit="0" wrapText="1"/>
    </xf>
    <xf borderId="7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5" fillId="0" fontId="2" numFmtId="166" xfId="0" applyBorder="1" applyFont="1" applyNumberForma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5" fillId="0" fontId="2" numFmtId="10" xfId="0" applyBorder="1" applyFont="1" applyNumberFormat="1"/>
    <xf borderId="17" fillId="0" fontId="3" numFmtId="0" xfId="0" applyBorder="1" applyFont="1"/>
    <xf borderId="18" fillId="2" fontId="1" numFmtId="0" xfId="0" applyAlignment="1" applyBorder="1" applyFont="1">
      <alignment readingOrder="0"/>
    </xf>
    <xf borderId="19" fillId="2" fontId="1" numFmtId="0" xfId="0" applyAlignment="1" applyBorder="1" applyFont="1">
      <alignment readingOrder="0"/>
    </xf>
    <xf borderId="5" fillId="0" fontId="2" numFmtId="10" xfId="0" applyAlignment="1" applyBorder="1" applyFont="1" applyNumberFormat="1">
      <alignment readingOrder="0"/>
    </xf>
    <xf borderId="18" fillId="0" fontId="2" numFmtId="0" xfId="0" applyBorder="1" applyFont="1"/>
    <xf borderId="5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shrinkToFit="0" wrapText="1"/>
    </xf>
    <xf borderId="5" fillId="0" fontId="2" numFmtId="0" xfId="0" applyBorder="1" applyFont="1"/>
    <xf borderId="19" fillId="0" fontId="2" numFmtId="0" xfId="0" applyBorder="1" applyFont="1"/>
    <xf borderId="18" fillId="0" fontId="2" numFmtId="0" xfId="0" applyAlignment="1" applyBorder="1" applyFont="1">
      <alignment readingOrder="0"/>
    </xf>
    <xf borderId="5" fillId="0" fontId="2" numFmtId="166" xfId="0" applyAlignment="1" applyBorder="1" applyFont="1" applyNumberFormat="1">
      <alignment readingOrder="0"/>
    </xf>
    <xf borderId="19" fillId="0" fontId="2" numFmtId="166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 shrinkToFit="0" wrapText="1"/>
    </xf>
    <xf borderId="20" fillId="0" fontId="3" numFmtId="0" xfId="0" applyBorder="1" applyFont="1"/>
    <xf borderId="1" fillId="0" fontId="1" numFmtId="166" xfId="0" applyBorder="1" applyFont="1" applyNumberFormat="1"/>
    <xf borderId="21" fillId="0" fontId="3" numFmtId="0" xfId="0" applyBorder="1" applyFont="1"/>
    <xf borderId="5" fillId="0" fontId="2" numFmtId="0" xfId="0" applyAlignment="1" applyBorder="1" applyFont="1">
      <alignment readingOrder="0"/>
    </xf>
    <xf borderId="1" fillId="0" fontId="1" numFmtId="166" xfId="0" applyAlignment="1" applyBorder="1" applyFont="1" applyNumberFormat="1">
      <alignment readingOrder="0"/>
    </xf>
    <xf borderId="5" fillId="0" fontId="2" numFmtId="0" xfId="0" applyAlignment="1" applyBorder="1" applyFont="1">
      <alignment readingOrder="0" shrinkToFit="0" wrapText="1"/>
    </xf>
    <xf borderId="22" fillId="0" fontId="2" numFmtId="0" xfId="0" applyBorder="1" applyFont="1"/>
    <xf borderId="23" fillId="0" fontId="1" numFmtId="0" xfId="0" applyAlignment="1" applyBorder="1" applyFont="1">
      <alignment horizontal="right" readingOrder="0" shrinkToFit="0" wrapText="1"/>
    </xf>
    <xf borderId="24" fillId="0" fontId="3" numFmtId="0" xfId="0" applyBorder="1" applyFont="1"/>
    <xf borderId="25" fillId="0" fontId="3" numFmtId="0" xfId="0" applyBorder="1" applyFont="1"/>
    <xf borderId="23" fillId="0" fontId="1" numFmtId="166" xfId="0" applyBorder="1" applyFont="1" applyNumberFormat="1"/>
    <xf borderId="26" fillId="0" fontId="3" numFmtId="0" xfId="0" applyBorder="1" applyFont="1"/>
    <xf borderId="27" fillId="0" fontId="2" numFmtId="0" xfId="0" applyBorder="1" applyFont="1"/>
    <xf borderId="28" fillId="0" fontId="1" numFmtId="0" xfId="0" applyAlignment="1" applyBorder="1" applyFont="1">
      <alignment horizontal="right" readingOrder="0"/>
    </xf>
    <xf borderId="29" fillId="0" fontId="3" numFmtId="0" xfId="0" applyBorder="1" applyFont="1"/>
    <xf borderId="30" fillId="0" fontId="3" numFmtId="0" xfId="0" applyBorder="1" applyFont="1"/>
    <xf borderId="28" fillId="0" fontId="1" numFmtId="166" xfId="0" applyBorder="1" applyFont="1" applyNumberFormat="1"/>
    <xf borderId="31" fillId="0" fontId="3" numFmtId="0" xfId="0" applyBorder="1" applyFont="1"/>
    <xf borderId="1" fillId="0" fontId="1" numFmtId="0" xfId="0" applyAlignment="1" applyBorder="1" applyFont="1">
      <alignment horizontal="right" readingOrder="0"/>
    </xf>
    <xf borderId="28" fillId="0" fontId="1" numFmtId="166" xfId="0" applyAlignment="1" applyBorder="1" applyFont="1" applyNumberFormat="1">
      <alignment horizontal="right"/>
    </xf>
    <xf borderId="32" fillId="0" fontId="2" numFmtId="0" xfId="0" applyBorder="1" applyFont="1"/>
    <xf borderId="33" fillId="0" fontId="1" numFmtId="0" xfId="0" applyAlignment="1" applyBorder="1" applyFont="1">
      <alignment horizontal="right" readingOrder="0"/>
    </xf>
    <xf borderId="34" fillId="0" fontId="3" numFmtId="0" xfId="0" applyBorder="1" applyFont="1"/>
    <xf borderId="35" fillId="0" fontId="3" numFmtId="0" xfId="0" applyBorder="1" applyFont="1"/>
    <xf borderId="33" fillId="0" fontId="1" numFmtId="0" xfId="0" applyBorder="1" applyFont="1"/>
    <xf borderId="33" fillId="0" fontId="1" numFmtId="10" xfId="0" applyBorder="1" applyFont="1" applyNumberFormat="1"/>
    <xf borderId="1" fillId="0" fontId="1" numFmtId="166" xfId="0" applyAlignment="1" applyBorder="1" applyFont="1" applyNumberFormat="1">
      <alignment horizontal="right"/>
    </xf>
    <xf borderId="36" fillId="0" fontId="3" numFmtId="0" xfId="0" applyBorder="1" applyFont="1"/>
    <xf borderId="33" fillId="0" fontId="1" numFmtId="0" xfId="0" applyAlignment="1" applyBorder="1" applyFont="1">
      <alignment horizontal="right"/>
    </xf>
    <xf borderId="33" fillId="0" fontId="1" numFmtId="10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8" width="12.63"/>
  </cols>
  <sheetData>
    <row r="1">
      <c r="A1" s="1" t="s">
        <v>0</v>
      </c>
    </row>
    <row r="3">
      <c r="A3" s="1" t="s">
        <v>1</v>
      </c>
      <c r="C3" s="2" t="s">
        <v>2</v>
      </c>
      <c r="E3" s="1" t="s">
        <v>3</v>
      </c>
      <c r="G3" s="2" t="s">
        <v>4</v>
      </c>
    </row>
    <row r="4">
      <c r="A4" s="1" t="s">
        <v>5</v>
      </c>
      <c r="C4" s="2">
        <v>88.0</v>
      </c>
      <c r="E4" s="1" t="s">
        <v>6</v>
      </c>
      <c r="G4" s="3">
        <v>31346.375</v>
      </c>
    </row>
    <row r="5">
      <c r="A5" s="1" t="s">
        <v>7</v>
      </c>
      <c r="C5" s="4">
        <v>2679565.0</v>
      </c>
    </row>
    <row r="9">
      <c r="A9" s="5" t="s">
        <v>9</v>
      </c>
      <c r="B9" s="7"/>
      <c r="C9" s="9" t="s">
        <v>11</v>
      </c>
      <c r="D9" s="11" t="s">
        <v>12</v>
      </c>
    </row>
    <row r="10">
      <c r="A10" s="13" t="s">
        <v>15</v>
      </c>
      <c r="B10" s="7"/>
      <c r="C10" s="19">
        <f>Sheet2!J48</f>
        <v>2286368</v>
      </c>
      <c r="D10" s="24">
        <f>Sheet2!J49</f>
        <v>0.8532608838</v>
      </c>
    </row>
    <row r="11">
      <c r="A11" s="13" t="s">
        <v>19</v>
      </c>
      <c r="B11" s="7"/>
      <c r="C11" s="19">
        <f>Sheet2!L48</f>
        <v>179790</v>
      </c>
      <c r="D11" s="28">
        <f>Sheet2!L49</f>
        <v>0.06709671159</v>
      </c>
    </row>
    <row r="12">
      <c r="A12" s="13" t="s">
        <v>29</v>
      </c>
      <c r="B12" s="7"/>
      <c r="C12" s="19">
        <f>Sheet3!J48</f>
        <v>2188218</v>
      </c>
      <c r="D12" s="24">
        <f>Sheet3!J49</f>
        <v>0.816631804</v>
      </c>
    </row>
    <row r="13">
      <c r="A13" s="13" t="s">
        <v>31</v>
      </c>
      <c r="B13" s="7"/>
      <c r="C13" s="19">
        <f>Sheet3!L48</f>
        <v>2687187</v>
      </c>
      <c r="D13" s="24">
        <f>Sheet3!L49</f>
        <v>1.002844492</v>
      </c>
    </row>
  </sheetData>
  <mergeCells count="18">
    <mergeCell ref="E4:F4"/>
    <mergeCell ref="G4:H4"/>
    <mergeCell ref="A1:D1"/>
    <mergeCell ref="C3:D3"/>
    <mergeCell ref="E3:F3"/>
    <mergeCell ref="G3:H3"/>
    <mergeCell ref="C4:D4"/>
    <mergeCell ref="A4:B4"/>
    <mergeCell ref="A3:B3"/>
    <mergeCell ref="A12:B12"/>
    <mergeCell ref="A13:B13"/>
    <mergeCell ref="C5:D5"/>
    <mergeCell ref="E5:F5"/>
    <mergeCell ref="G5:H5"/>
    <mergeCell ref="A9:B9"/>
    <mergeCell ref="A10:B10"/>
    <mergeCell ref="A11:B11"/>
    <mergeCell ref="A5:B5"/>
  </mergeCells>
  <printOptions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2" max="2" width="27.63"/>
    <col customWidth="1" min="4" max="4" width="25.13"/>
  </cols>
  <sheetData>
    <row r="1">
      <c r="A1" s="6" t="s">
        <v>8</v>
      </c>
      <c r="B1" s="8"/>
      <c r="C1" s="8"/>
      <c r="D1" s="8"/>
      <c r="E1" s="8"/>
      <c r="F1" s="8"/>
      <c r="G1" s="10"/>
      <c r="H1" s="12" t="s">
        <v>13</v>
      </c>
      <c r="I1" s="10"/>
      <c r="J1" s="12" t="s">
        <v>14</v>
      </c>
      <c r="K1" s="10"/>
      <c r="L1" s="12" t="s">
        <v>16</v>
      </c>
      <c r="M1" s="14"/>
    </row>
    <row r="2">
      <c r="A2" s="15"/>
      <c r="G2" s="16"/>
      <c r="H2" s="17"/>
      <c r="I2" s="16"/>
      <c r="J2" s="17"/>
      <c r="K2" s="16"/>
      <c r="L2" s="17"/>
      <c r="M2" s="18"/>
    </row>
    <row r="3">
      <c r="A3" s="15"/>
      <c r="G3" s="16"/>
      <c r="H3" s="17"/>
      <c r="I3" s="16"/>
      <c r="J3" s="17"/>
      <c r="K3" s="16"/>
      <c r="L3" s="17"/>
      <c r="M3" s="18"/>
    </row>
    <row r="4">
      <c r="A4" s="15"/>
      <c r="G4" s="16"/>
      <c r="H4" s="17"/>
      <c r="I4" s="16"/>
      <c r="J4" s="17"/>
      <c r="K4" s="16"/>
      <c r="L4" s="17"/>
      <c r="M4" s="18"/>
    </row>
    <row r="5">
      <c r="A5" s="15"/>
      <c r="G5" s="16"/>
      <c r="H5" s="17"/>
      <c r="I5" s="16"/>
      <c r="J5" s="17"/>
      <c r="K5" s="16"/>
      <c r="L5" s="17"/>
      <c r="M5" s="18"/>
    </row>
    <row r="6">
      <c r="A6" s="20"/>
      <c r="B6" s="21"/>
      <c r="C6" s="21"/>
      <c r="D6" s="21"/>
      <c r="E6" s="21"/>
      <c r="F6" s="21"/>
      <c r="G6" s="22"/>
      <c r="H6" s="23"/>
      <c r="I6" s="22"/>
      <c r="J6" s="23"/>
      <c r="K6" s="22"/>
      <c r="L6" s="23"/>
      <c r="M6" s="25"/>
    </row>
    <row r="7">
      <c r="A7" s="26" t="s">
        <v>20</v>
      </c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9" t="s">
        <v>26</v>
      </c>
      <c r="H7" s="9" t="s">
        <v>27</v>
      </c>
      <c r="I7" s="9" t="s">
        <v>28</v>
      </c>
      <c r="J7" s="9" t="s">
        <v>27</v>
      </c>
      <c r="K7" s="9" t="s">
        <v>28</v>
      </c>
      <c r="L7" s="9" t="s">
        <v>27</v>
      </c>
      <c r="M7" s="27" t="s">
        <v>28</v>
      </c>
    </row>
    <row r="8">
      <c r="A8" s="29"/>
      <c r="B8" s="30" t="s">
        <v>30</v>
      </c>
      <c r="C8" s="31"/>
      <c r="D8" s="31"/>
      <c r="E8" s="31"/>
      <c r="F8" s="31"/>
      <c r="G8" s="31"/>
      <c r="H8" s="32"/>
      <c r="I8" s="32"/>
      <c r="J8" s="32"/>
      <c r="K8" s="32"/>
      <c r="L8" s="32"/>
      <c r="M8" s="33"/>
    </row>
    <row r="9">
      <c r="A9" s="34">
        <v>1.0</v>
      </c>
      <c r="B9" s="31">
        <v>9.1538204E7</v>
      </c>
      <c r="C9" s="31"/>
      <c r="D9" s="30" t="s">
        <v>32</v>
      </c>
      <c r="E9" s="31"/>
      <c r="F9" s="30">
        <v>1.0</v>
      </c>
      <c r="G9" s="30" t="s">
        <v>33</v>
      </c>
      <c r="H9" s="32"/>
      <c r="I9" s="35">
        <v>55000.0</v>
      </c>
      <c r="J9" s="32"/>
      <c r="K9" s="35">
        <v>57000.0</v>
      </c>
      <c r="L9" s="32"/>
      <c r="M9" s="36">
        <v>52000.0</v>
      </c>
    </row>
    <row r="10">
      <c r="A10" s="34">
        <v>2.0</v>
      </c>
      <c r="B10" s="31">
        <v>1.0475923E7</v>
      </c>
      <c r="C10" s="31"/>
      <c r="D10" s="30" t="s">
        <v>34</v>
      </c>
      <c r="E10" s="31"/>
      <c r="F10" s="30">
        <v>1.0</v>
      </c>
      <c r="G10" s="30" t="s">
        <v>33</v>
      </c>
      <c r="H10" s="32"/>
      <c r="I10" s="35">
        <v>1500.0</v>
      </c>
      <c r="J10" s="32"/>
      <c r="K10" s="35">
        <v>1550.0</v>
      </c>
      <c r="L10" s="32"/>
      <c r="M10" s="36">
        <v>1500.0</v>
      </c>
    </row>
    <row r="11">
      <c r="A11" s="34">
        <v>3.0</v>
      </c>
      <c r="B11" s="31">
        <v>6.3920185E7</v>
      </c>
      <c r="C11" s="31"/>
      <c r="D11" s="31" t="s">
        <v>35</v>
      </c>
      <c r="E11" s="31"/>
      <c r="F11" s="30">
        <v>1.0</v>
      </c>
      <c r="G11" s="30" t="s">
        <v>33</v>
      </c>
      <c r="H11" s="32"/>
      <c r="I11" s="35">
        <v>750.0</v>
      </c>
      <c r="J11" s="32"/>
      <c r="K11" s="35">
        <v>750.0</v>
      </c>
      <c r="L11" s="32"/>
      <c r="M11" s="36">
        <v>725.0</v>
      </c>
    </row>
    <row r="12">
      <c r="A12" s="29"/>
      <c r="B12" s="37" t="s">
        <v>36</v>
      </c>
      <c r="C12" s="38"/>
      <c r="D12" s="38"/>
      <c r="E12" s="38"/>
      <c r="F12" s="38"/>
      <c r="G12" s="7"/>
      <c r="H12" s="39">
        <f>SUM(I9:I11)</f>
        <v>57250</v>
      </c>
      <c r="I12" s="7"/>
      <c r="J12" s="39">
        <f>SUM(K9:K11)</f>
        <v>59300</v>
      </c>
      <c r="K12" s="7"/>
      <c r="L12" s="39">
        <f>SUM(M9:M11)</f>
        <v>54225</v>
      </c>
      <c r="M12" s="40"/>
    </row>
    <row r="13">
      <c r="A13" s="29"/>
      <c r="B13" s="31" t="s">
        <v>37</v>
      </c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3"/>
    </row>
    <row r="14">
      <c r="A14" s="34">
        <v>4.0</v>
      </c>
      <c r="B14" s="31">
        <v>3.4691208E7</v>
      </c>
      <c r="C14" s="31"/>
      <c r="D14" s="30" t="s">
        <v>38</v>
      </c>
      <c r="E14" s="31"/>
      <c r="F14" s="30">
        <v>1.0</v>
      </c>
      <c r="G14" s="30" t="s">
        <v>33</v>
      </c>
      <c r="H14" s="32"/>
      <c r="I14" s="35">
        <v>50000.0</v>
      </c>
      <c r="J14" s="32"/>
      <c r="K14" s="35">
        <v>55000.0</v>
      </c>
      <c r="L14" s="32"/>
      <c r="M14" s="36">
        <v>52000.0</v>
      </c>
    </row>
    <row r="15">
      <c r="A15" s="34">
        <v>5.0</v>
      </c>
      <c r="B15" s="31">
        <v>8.9254316E7</v>
      </c>
      <c r="C15" s="31"/>
      <c r="D15" s="30" t="s">
        <v>39</v>
      </c>
      <c r="E15" s="31"/>
      <c r="F15" s="30">
        <v>1.0</v>
      </c>
      <c r="G15" s="30" t="s">
        <v>33</v>
      </c>
      <c r="H15" s="32"/>
      <c r="I15" s="35">
        <v>5000.0</v>
      </c>
      <c r="J15" s="32"/>
      <c r="K15" s="35">
        <v>5000.0</v>
      </c>
      <c r="L15" s="32"/>
      <c r="M15" s="36">
        <v>5000.0</v>
      </c>
    </row>
    <row r="16">
      <c r="A16" s="34">
        <v>6.0</v>
      </c>
      <c r="B16" s="31">
        <v>2.1078964E7</v>
      </c>
      <c r="C16" s="31"/>
      <c r="D16" s="30" t="s">
        <v>40</v>
      </c>
      <c r="E16" s="31"/>
      <c r="F16" s="30">
        <v>1.0</v>
      </c>
      <c r="G16" s="30" t="s">
        <v>33</v>
      </c>
      <c r="H16" s="32"/>
      <c r="I16" s="35">
        <v>15.0</v>
      </c>
      <c r="J16" s="32"/>
      <c r="K16" s="35">
        <v>15.0</v>
      </c>
      <c r="L16" s="32"/>
      <c r="M16" s="36">
        <v>15.0</v>
      </c>
    </row>
    <row r="17">
      <c r="A17" s="34">
        <v>7.0</v>
      </c>
      <c r="B17" s="31">
        <v>6.7431502E7</v>
      </c>
      <c r="C17" s="31"/>
      <c r="D17" s="30" t="s">
        <v>41</v>
      </c>
      <c r="E17" s="31"/>
      <c r="F17" s="30">
        <v>1.0</v>
      </c>
      <c r="G17" s="30" t="s">
        <v>33</v>
      </c>
      <c r="H17" s="32"/>
      <c r="I17" s="35">
        <v>10000.0</v>
      </c>
      <c r="J17" s="32"/>
      <c r="K17" s="35">
        <v>10000.0</v>
      </c>
      <c r="L17" s="32"/>
      <c r="M17" s="36">
        <v>10000.0</v>
      </c>
    </row>
    <row r="18">
      <c r="A18" s="34">
        <v>8.0</v>
      </c>
      <c r="B18" s="31">
        <v>1.5893047E7</v>
      </c>
      <c r="C18" s="31"/>
      <c r="D18" s="30" t="s">
        <v>42</v>
      </c>
      <c r="E18" s="31"/>
      <c r="F18" s="30">
        <v>1.0</v>
      </c>
      <c r="G18" s="30" t="s">
        <v>33</v>
      </c>
      <c r="H18" s="32"/>
      <c r="I18" s="35">
        <v>350.0</v>
      </c>
      <c r="J18" s="32"/>
      <c r="K18" s="35">
        <v>350.0</v>
      </c>
      <c r="L18" s="32"/>
      <c r="M18" s="36">
        <v>350.0</v>
      </c>
    </row>
    <row r="19">
      <c r="A19" s="34">
        <v>9.0</v>
      </c>
      <c r="B19" s="31">
        <v>9.4021853E7</v>
      </c>
      <c r="C19" s="31"/>
      <c r="D19" s="30" t="s">
        <v>43</v>
      </c>
      <c r="E19" s="31"/>
      <c r="F19" s="30">
        <v>1.0</v>
      </c>
      <c r="G19" s="30" t="s">
        <v>33</v>
      </c>
      <c r="H19" s="32"/>
      <c r="I19" s="35">
        <v>2500000.0</v>
      </c>
      <c r="J19" s="32"/>
      <c r="K19" s="35">
        <v>2100000.0</v>
      </c>
      <c r="L19" s="41" t="s">
        <v>44</v>
      </c>
      <c r="M19" s="36">
        <v>0.0</v>
      </c>
    </row>
    <row r="20">
      <c r="A20" s="34">
        <v>10.0</v>
      </c>
      <c r="B20" s="31">
        <v>3.126749E7</v>
      </c>
      <c r="C20" s="31"/>
      <c r="D20" s="30" t="s">
        <v>45</v>
      </c>
      <c r="E20" s="31"/>
      <c r="F20" s="30">
        <v>1.0</v>
      </c>
      <c r="G20" s="30" t="s">
        <v>33</v>
      </c>
      <c r="H20" s="32"/>
      <c r="I20" s="35">
        <v>4000.0</v>
      </c>
      <c r="J20" s="32"/>
      <c r="K20" s="35">
        <v>3778.0</v>
      </c>
      <c r="L20" s="32"/>
      <c r="M20" s="36">
        <v>4000.0</v>
      </c>
    </row>
    <row r="21">
      <c r="A21" s="34">
        <v>11.0</v>
      </c>
      <c r="B21" s="31">
        <v>5.0819236E7</v>
      </c>
      <c r="C21" s="31"/>
      <c r="D21" s="30" t="s">
        <v>46</v>
      </c>
      <c r="E21" s="31"/>
      <c r="F21" s="30">
        <v>1.0</v>
      </c>
      <c r="G21" s="30" t="s">
        <v>33</v>
      </c>
      <c r="H21" s="32"/>
      <c r="I21" s="35">
        <v>1200.0</v>
      </c>
      <c r="J21" s="32"/>
      <c r="K21" s="35">
        <v>1200.0</v>
      </c>
      <c r="L21" s="32"/>
      <c r="M21" s="36">
        <v>1300.0</v>
      </c>
    </row>
    <row r="22">
      <c r="A22" s="34">
        <v>12.0</v>
      </c>
      <c r="B22" s="31">
        <v>7.2340198E7</v>
      </c>
      <c r="C22" s="31"/>
      <c r="D22" s="30" t="s">
        <v>47</v>
      </c>
      <c r="E22" s="31"/>
      <c r="F22" s="30">
        <v>1.0</v>
      </c>
      <c r="G22" s="30" t="s">
        <v>33</v>
      </c>
      <c r="H22" s="32"/>
      <c r="I22" s="35">
        <v>1200.0</v>
      </c>
      <c r="J22" s="32"/>
      <c r="K22" s="35">
        <v>1200.0</v>
      </c>
      <c r="L22" s="32"/>
      <c r="M22" s="36">
        <v>1200.0</v>
      </c>
    </row>
    <row r="23">
      <c r="A23" s="29"/>
      <c r="B23" s="37" t="s">
        <v>36</v>
      </c>
      <c r="C23" s="38"/>
      <c r="D23" s="38"/>
      <c r="E23" s="38"/>
      <c r="F23" s="38"/>
      <c r="G23" s="7"/>
      <c r="H23" s="42">
        <f>sum(I14:I22)</f>
        <v>2571765</v>
      </c>
      <c r="I23" s="7"/>
      <c r="J23" s="42">
        <f>sum(K14:K22)</f>
        <v>2176543</v>
      </c>
      <c r="K23" s="7"/>
      <c r="L23" s="42">
        <f>sum(M14:M22)</f>
        <v>73865</v>
      </c>
      <c r="M23" s="40"/>
    </row>
    <row r="24">
      <c r="A24" s="29"/>
      <c r="B24" s="31" t="s">
        <v>48</v>
      </c>
      <c r="C24" s="31"/>
      <c r="D24" s="31"/>
      <c r="E24" s="31"/>
      <c r="F24" s="31"/>
      <c r="G24" s="31"/>
      <c r="H24" s="32"/>
      <c r="I24" s="32"/>
      <c r="J24" s="32"/>
      <c r="K24" s="32"/>
      <c r="L24" s="32"/>
      <c r="M24" s="33"/>
    </row>
    <row r="25">
      <c r="A25" s="34">
        <v>13.0</v>
      </c>
      <c r="B25" s="31">
        <v>1.928436E7</v>
      </c>
      <c r="C25" s="31"/>
      <c r="D25" s="30" t="s">
        <v>49</v>
      </c>
      <c r="E25" s="31"/>
      <c r="F25" s="30">
        <v>1.0</v>
      </c>
      <c r="G25" s="30" t="s">
        <v>33</v>
      </c>
      <c r="H25" s="32"/>
      <c r="I25" s="35">
        <v>1400.0</v>
      </c>
      <c r="J25" s="32"/>
      <c r="K25" s="35">
        <v>1400.0</v>
      </c>
      <c r="L25" s="32"/>
      <c r="M25" s="36">
        <v>1400.0</v>
      </c>
    </row>
    <row r="26">
      <c r="A26" s="34">
        <v>14.0</v>
      </c>
      <c r="B26" s="31">
        <v>6.0517482E7</v>
      </c>
      <c r="C26" s="31"/>
      <c r="D26" s="30" t="s">
        <v>50</v>
      </c>
      <c r="E26" s="31"/>
      <c r="F26" s="30">
        <v>1.0</v>
      </c>
      <c r="G26" s="30" t="s">
        <v>33</v>
      </c>
      <c r="H26" s="32"/>
      <c r="I26" s="35">
        <v>300.0</v>
      </c>
      <c r="J26" s="32"/>
      <c r="K26" s="35">
        <v>300.0</v>
      </c>
      <c r="L26" s="32"/>
      <c r="M26" s="36">
        <v>300.0</v>
      </c>
    </row>
    <row r="27">
      <c r="A27" s="34">
        <v>15.0</v>
      </c>
      <c r="B27" s="31">
        <v>3.5489012E7</v>
      </c>
      <c r="C27" s="31"/>
      <c r="D27" s="30" t="s">
        <v>51</v>
      </c>
      <c r="E27" s="31"/>
      <c r="F27" s="30">
        <v>1.0</v>
      </c>
      <c r="G27" s="30" t="s">
        <v>33</v>
      </c>
      <c r="H27" s="32"/>
      <c r="I27" s="35">
        <v>800.0</v>
      </c>
      <c r="J27" s="32"/>
      <c r="K27" s="35">
        <v>800.0</v>
      </c>
      <c r="L27" s="32"/>
      <c r="M27" s="36">
        <v>800.0</v>
      </c>
    </row>
    <row r="28">
      <c r="A28" s="34">
        <v>16.0</v>
      </c>
      <c r="B28" s="31">
        <v>7.9021465E7</v>
      </c>
      <c r="C28" s="31"/>
      <c r="D28" s="30" t="s">
        <v>52</v>
      </c>
      <c r="E28" s="31"/>
      <c r="F28" s="30">
        <v>1.0</v>
      </c>
      <c r="G28" s="30" t="s">
        <v>33</v>
      </c>
      <c r="H28" s="32"/>
      <c r="I28" s="35">
        <v>600.0</v>
      </c>
      <c r="J28" s="32"/>
      <c r="K28" s="35">
        <v>575.0</v>
      </c>
      <c r="L28" s="32"/>
      <c r="M28" s="36">
        <v>600.0</v>
      </c>
    </row>
    <row r="29">
      <c r="A29" s="34">
        <v>17.0</v>
      </c>
      <c r="B29" s="31">
        <v>2.4890317E7</v>
      </c>
      <c r="C29" s="31"/>
      <c r="D29" s="30" t="s">
        <v>53</v>
      </c>
      <c r="E29" s="31"/>
      <c r="F29" s="30">
        <v>1.0</v>
      </c>
      <c r="G29" s="30" t="s">
        <v>33</v>
      </c>
      <c r="H29" s="32"/>
      <c r="I29" s="35">
        <v>2500.0</v>
      </c>
      <c r="J29" s="32"/>
      <c r="K29" s="35">
        <v>2500.0</v>
      </c>
      <c r="L29" s="32"/>
      <c r="M29" s="36">
        <v>2500.0</v>
      </c>
    </row>
    <row r="30">
      <c r="A30" s="34">
        <v>18.0</v>
      </c>
      <c r="B30" s="31">
        <v>5.1639408E7</v>
      </c>
      <c r="C30" s="31"/>
      <c r="D30" s="30" t="s">
        <v>54</v>
      </c>
      <c r="E30" s="31"/>
      <c r="F30" s="30">
        <v>1.0</v>
      </c>
      <c r="G30" s="30" t="s">
        <v>33</v>
      </c>
      <c r="H30" s="32"/>
      <c r="I30" s="35">
        <v>400.0</v>
      </c>
      <c r="J30" s="32"/>
      <c r="K30" s="35">
        <v>400.0</v>
      </c>
      <c r="L30" s="32"/>
      <c r="M30" s="36">
        <v>450.0</v>
      </c>
    </row>
    <row r="31">
      <c r="A31" s="34">
        <v>19.0</v>
      </c>
      <c r="B31" s="31">
        <v>9.0312647E7</v>
      </c>
      <c r="C31" s="31"/>
      <c r="D31" s="30" t="s">
        <v>55</v>
      </c>
      <c r="E31" s="31"/>
      <c r="F31" s="30">
        <v>1.0</v>
      </c>
      <c r="G31" s="30" t="s">
        <v>33</v>
      </c>
      <c r="H31" s="32"/>
      <c r="I31" s="35">
        <v>50.0</v>
      </c>
      <c r="J31" s="32"/>
      <c r="K31" s="35">
        <v>50.0</v>
      </c>
      <c r="L31" s="32"/>
      <c r="M31" s="36">
        <v>50.0</v>
      </c>
    </row>
    <row r="32">
      <c r="A32" s="34">
        <v>20.0</v>
      </c>
      <c r="B32" s="31">
        <v>4.2785019E7</v>
      </c>
      <c r="C32" s="31"/>
      <c r="D32" s="43" t="s">
        <v>56</v>
      </c>
      <c r="E32" s="31"/>
      <c r="F32" s="30">
        <v>1.0</v>
      </c>
      <c r="G32" s="30" t="s">
        <v>33</v>
      </c>
      <c r="H32" s="32"/>
      <c r="I32" s="35">
        <v>300.0</v>
      </c>
      <c r="J32" s="32"/>
      <c r="K32" s="35">
        <v>300.0</v>
      </c>
      <c r="L32" s="32"/>
      <c r="M32" s="36">
        <v>300.0</v>
      </c>
    </row>
    <row r="33">
      <c r="A33" s="34">
        <v>21.0</v>
      </c>
      <c r="B33" s="31">
        <v>1.8390246E7</v>
      </c>
      <c r="C33" s="31"/>
      <c r="D33" s="30" t="s">
        <v>57</v>
      </c>
      <c r="E33" s="31"/>
      <c r="F33" s="30">
        <v>1.0</v>
      </c>
      <c r="G33" s="30" t="s">
        <v>33</v>
      </c>
      <c r="H33" s="32"/>
      <c r="I33" s="35">
        <v>4500.0</v>
      </c>
      <c r="J33" s="32"/>
      <c r="K33" s="35">
        <v>4500.0</v>
      </c>
      <c r="L33" s="32"/>
      <c r="M33" s="36">
        <v>4500.0</v>
      </c>
    </row>
    <row r="34">
      <c r="A34" s="34">
        <v>22.0</v>
      </c>
      <c r="B34" s="31">
        <v>6.9204813E7</v>
      </c>
      <c r="C34" s="31"/>
      <c r="D34" s="30" t="s">
        <v>58</v>
      </c>
      <c r="E34" s="31"/>
      <c r="F34" s="30">
        <v>1.0</v>
      </c>
      <c r="G34" s="30" t="s">
        <v>33</v>
      </c>
      <c r="H34" s="32"/>
      <c r="I34" s="35">
        <v>700.0</v>
      </c>
      <c r="J34" s="32"/>
      <c r="K34" s="35">
        <v>700.0</v>
      </c>
      <c r="L34" s="32"/>
      <c r="M34" s="36">
        <v>700.0</v>
      </c>
    </row>
    <row r="35">
      <c r="A35" s="34">
        <v>23.0</v>
      </c>
      <c r="B35" s="31">
        <v>3.0419258E7</v>
      </c>
      <c r="C35" s="31"/>
      <c r="D35" s="30" t="s">
        <v>59</v>
      </c>
      <c r="E35" s="31"/>
      <c r="F35" s="30">
        <v>1.0</v>
      </c>
      <c r="G35" s="30" t="s">
        <v>33</v>
      </c>
      <c r="H35" s="32"/>
      <c r="I35" s="35">
        <v>800.0</v>
      </c>
      <c r="J35" s="32"/>
      <c r="K35" s="35">
        <v>800.0</v>
      </c>
      <c r="L35" s="32"/>
      <c r="M35" s="36">
        <v>900.0</v>
      </c>
    </row>
    <row r="36">
      <c r="A36" s="29"/>
      <c r="B36" s="37" t="s">
        <v>36</v>
      </c>
      <c r="C36" s="38"/>
      <c r="D36" s="38"/>
      <c r="E36" s="38"/>
      <c r="F36" s="38"/>
      <c r="G36" s="7"/>
      <c r="H36" s="39">
        <f>sum(I25:I35)</f>
        <v>12350</v>
      </c>
      <c r="I36" s="7"/>
      <c r="J36" s="39">
        <f>sum(K25:K35)</f>
        <v>12325</v>
      </c>
      <c r="K36" s="7"/>
      <c r="L36" s="39">
        <f>sum(M25:M35)</f>
        <v>12500</v>
      </c>
      <c r="M36" s="40"/>
    </row>
    <row r="37">
      <c r="A37" s="29"/>
      <c r="B37" s="31" t="s">
        <v>60</v>
      </c>
      <c r="C37" s="31"/>
      <c r="D37" s="31"/>
      <c r="E37" s="31"/>
      <c r="F37" s="31"/>
      <c r="G37" s="31"/>
      <c r="H37" s="32"/>
      <c r="I37" s="32"/>
      <c r="J37" s="32"/>
      <c r="K37" s="32"/>
      <c r="L37" s="32"/>
      <c r="M37" s="33"/>
    </row>
    <row r="38">
      <c r="A38" s="34">
        <v>24.0</v>
      </c>
      <c r="B38" s="31">
        <v>2.3958104E7</v>
      </c>
      <c r="C38" s="31"/>
      <c r="D38" s="30" t="s">
        <v>61</v>
      </c>
      <c r="E38" s="31"/>
      <c r="F38" s="30">
        <v>1.0</v>
      </c>
      <c r="G38" s="30" t="s">
        <v>33</v>
      </c>
      <c r="H38" s="32"/>
      <c r="I38" s="35">
        <v>10000.0</v>
      </c>
      <c r="J38" s="32"/>
      <c r="K38" s="35">
        <v>10000.0</v>
      </c>
      <c r="L38" s="32"/>
      <c r="M38" s="36">
        <v>10000.0</v>
      </c>
    </row>
    <row r="39">
      <c r="A39" s="34">
        <v>25.0</v>
      </c>
      <c r="B39" s="31">
        <v>5.6201947E7</v>
      </c>
      <c r="C39" s="31"/>
      <c r="D39" s="30" t="s">
        <v>62</v>
      </c>
      <c r="E39" s="31"/>
      <c r="F39" s="30">
        <v>1.0</v>
      </c>
      <c r="G39" s="30" t="s">
        <v>33</v>
      </c>
      <c r="H39" s="32"/>
      <c r="I39" s="35">
        <v>800.0</v>
      </c>
      <c r="J39" s="32"/>
      <c r="K39" s="35">
        <v>800.0</v>
      </c>
      <c r="L39" s="32"/>
      <c r="M39" s="36">
        <v>800.0</v>
      </c>
    </row>
    <row r="40">
      <c r="A40" s="34">
        <v>26.0</v>
      </c>
      <c r="B40" s="31">
        <v>4.1083925E7</v>
      </c>
      <c r="C40" s="31"/>
      <c r="D40" s="30" t="s">
        <v>63</v>
      </c>
      <c r="E40" s="31"/>
      <c r="F40" s="30">
        <v>1.0</v>
      </c>
      <c r="G40" s="30" t="s">
        <v>33</v>
      </c>
      <c r="H40" s="32"/>
      <c r="I40" s="35">
        <v>3000.0</v>
      </c>
      <c r="J40" s="32"/>
      <c r="K40" s="35">
        <v>3000.0</v>
      </c>
      <c r="L40" s="32"/>
      <c r="M40" s="36">
        <v>4000.0</v>
      </c>
    </row>
    <row r="41">
      <c r="A41" s="34">
        <v>27.0</v>
      </c>
      <c r="B41" s="31">
        <v>9.8710342E7</v>
      </c>
      <c r="C41" s="31"/>
      <c r="D41" s="30" t="s">
        <v>64</v>
      </c>
      <c r="E41" s="31"/>
      <c r="F41" s="30">
        <v>1.0</v>
      </c>
      <c r="G41" s="30" t="s">
        <v>33</v>
      </c>
      <c r="H41" s="32"/>
      <c r="I41" s="35">
        <v>400.0</v>
      </c>
      <c r="J41" s="32"/>
      <c r="K41" s="35">
        <v>400.0</v>
      </c>
      <c r="L41" s="32"/>
      <c r="M41" s="36">
        <v>400.0</v>
      </c>
    </row>
    <row r="42">
      <c r="A42" s="29"/>
      <c r="B42" s="37" t="s">
        <v>36</v>
      </c>
      <c r="C42" s="38"/>
      <c r="D42" s="38"/>
      <c r="E42" s="38"/>
      <c r="F42" s="38"/>
      <c r="G42" s="7"/>
      <c r="H42" s="39">
        <f>sum(I38:I41)</f>
        <v>14200</v>
      </c>
      <c r="I42" s="7"/>
      <c r="J42" s="39">
        <f>sum(K38:K41)</f>
        <v>14200</v>
      </c>
      <c r="K42" s="7"/>
      <c r="L42" s="39">
        <f>sum(M38:M41)</f>
        <v>15200</v>
      </c>
      <c r="M42" s="40"/>
    </row>
    <row r="43">
      <c r="A43" s="29"/>
      <c r="B43" s="30" t="s">
        <v>65</v>
      </c>
      <c r="C43" s="31"/>
      <c r="D43" s="31"/>
      <c r="E43" s="31"/>
      <c r="F43" s="30">
        <v>1.0</v>
      </c>
      <c r="G43" s="30" t="s">
        <v>33</v>
      </c>
      <c r="H43" s="32"/>
      <c r="I43" s="32"/>
      <c r="J43" s="32"/>
      <c r="K43" s="32"/>
      <c r="L43" s="32"/>
      <c r="M43" s="33"/>
    </row>
    <row r="44">
      <c r="A44" s="34">
        <v>28.0</v>
      </c>
      <c r="B44" s="31">
        <v>3.2158094E7</v>
      </c>
      <c r="C44" s="31"/>
      <c r="D44" s="30" t="s">
        <v>66</v>
      </c>
      <c r="E44" s="31"/>
      <c r="F44" s="30">
        <v>400.0</v>
      </c>
      <c r="G44" s="30" t="s">
        <v>67</v>
      </c>
      <c r="H44" s="41" t="s">
        <v>68</v>
      </c>
      <c r="I44" s="35">
        <v>24000.0</v>
      </c>
      <c r="J44" s="41" t="s">
        <v>68</v>
      </c>
      <c r="K44" s="35">
        <v>24000.0</v>
      </c>
      <c r="L44" s="41" t="s">
        <v>68</v>
      </c>
      <c r="M44" s="36">
        <v>24000.0</v>
      </c>
    </row>
    <row r="45">
      <c r="A45" s="44"/>
      <c r="B45" s="45" t="s">
        <v>36</v>
      </c>
      <c r="C45" s="46"/>
      <c r="D45" s="46"/>
      <c r="E45" s="46"/>
      <c r="F45" s="46"/>
      <c r="G45" s="47"/>
      <c r="H45" s="48">
        <f>sum(I44)</f>
        <v>24000</v>
      </c>
      <c r="I45" s="47"/>
      <c r="J45" s="48">
        <f>sum(K44)</f>
        <v>24000</v>
      </c>
      <c r="K45" s="47"/>
      <c r="L45" s="48">
        <f>sum(M44)</f>
        <v>24000</v>
      </c>
      <c r="M45" s="49"/>
    </row>
    <row r="46">
      <c r="A46" s="50"/>
      <c r="B46" s="51" t="s">
        <v>69</v>
      </c>
      <c r="C46" s="52"/>
      <c r="D46" s="52"/>
      <c r="E46" s="52"/>
      <c r="F46" s="52"/>
      <c r="G46" s="53"/>
      <c r="H46" s="57">
        <f>H12+H23+H36+H42</f>
        <v>2655565</v>
      </c>
      <c r="I46" s="53"/>
      <c r="J46" s="57">
        <f>J12+J23+J36+J42</f>
        <v>2262368</v>
      </c>
      <c r="K46" s="53"/>
      <c r="L46" s="57">
        <f>L12+L23+L36+L42</f>
        <v>155790</v>
      </c>
      <c r="M46" s="55"/>
    </row>
    <row r="47">
      <c r="A47" s="29"/>
      <c r="B47" s="56" t="s">
        <v>70</v>
      </c>
      <c r="C47" s="38"/>
      <c r="D47" s="38"/>
      <c r="E47" s="38"/>
      <c r="F47" s="38"/>
      <c r="G47" s="7"/>
      <c r="H47" s="64">
        <f>H45</f>
        <v>24000</v>
      </c>
      <c r="I47" s="7"/>
      <c r="J47" s="64">
        <f>J45</f>
        <v>24000</v>
      </c>
      <c r="K47" s="7"/>
      <c r="L47" s="64">
        <f>L45</f>
        <v>24000</v>
      </c>
      <c r="M47" s="40"/>
    </row>
    <row r="48">
      <c r="A48" s="29"/>
      <c r="B48" s="56" t="s">
        <v>71</v>
      </c>
      <c r="C48" s="38"/>
      <c r="D48" s="38"/>
      <c r="E48" s="38"/>
      <c r="F48" s="38"/>
      <c r="G48" s="7"/>
      <c r="H48" s="64">
        <f>H46+H47</f>
        <v>2679565</v>
      </c>
      <c r="I48" s="7"/>
      <c r="J48" s="64">
        <f>J46+J47</f>
        <v>2286368</v>
      </c>
      <c r="K48" s="7"/>
      <c r="L48" s="64">
        <f>L46+L47</f>
        <v>179790</v>
      </c>
      <c r="M48" s="40"/>
    </row>
    <row r="49">
      <c r="A49" s="58"/>
      <c r="B49" s="59" t="s">
        <v>72</v>
      </c>
      <c r="C49" s="60"/>
      <c r="D49" s="60"/>
      <c r="E49" s="60"/>
      <c r="F49" s="60"/>
      <c r="G49" s="61"/>
      <c r="H49" s="66"/>
      <c r="I49" s="61"/>
      <c r="J49" s="67">
        <f>J48/H48</f>
        <v>0.8532608838</v>
      </c>
      <c r="K49" s="61"/>
      <c r="L49" s="67">
        <f>L48/H48</f>
        <v>0.06709671159</v>
      </c>
      <c r="M49" s="65"/>
    </row>
  </sheetData>
  <mergeCells count="40">
    <mergeCell ref="A1:G6"/>
    <mergeCell ref="H1:I6"/>
    <mergeCell ref="J1:K6"/>
    <mergeCell ref="L1:M6"/>
    <mergeCell ref="H12:I12"/>
    <mergeCell ref="J12:K12"/>
    <mergeCell ref="L12:M12"/>
    <mergeCell ref="J36:K36"/>
    <mergeCell ref="L36:M36"/>
    <mergeCell ref="B12:G12"/>
    <mergeCell ref="B23:G23"/>
    <mergeCell ref="H23:I23"/>
    <mergeCell ref="J23:K23"/>
    <mergeCell ref="L23:M23"/>
    <mergeCell ref="B36:G36"/>
    <mergeCell ref="H36:I36"/>
    <mergeCell ref="B42:G42"/>
    <mergeCell ref="H42:I42"/>
    <mergeCell ref="J42:K42"/>
    <mergeCell ref="L42:M42"/>
    <mergeCell ref="H45:I45"/>
    <mergeCell ref="J45:K45"/>
    <mergeCell ref="L45:M45"/>
    <mergeCell ref="J47:K47"/>
    <mergeCell ref="L47:M47"/>
    <mergeCell ref="B48:G48"/>
    <mergeCell ref="H48:I48"/>
    <mergeCell ref="J48:K48"/>
    <mergeCell ref="L48:M48"/>
    <mergeCell ref="B49:G49"/>
    <mergeCell ref="H49:I49"/>
    <mergeCell ref="J49:K49"/>
    <mergeCell ref="L49:M49"/>
    <mergeCell ref="B45:G45"/>
    <mergeCell ref="B46:G46"/>
    <mergeCell ref="H46:I46"/>
    <mergeCell ref="J46:K46"/>
    <mergeCell ref="L46:M46"/>
    <mergeCell ref="B47:G47"/>
    <mergeCell ref="H47:I4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2" max="2" width="27.63"/>
    <col customWidth="1" min="4" max="4" width="25.13"/>
  </cols>
  <sheetData>
    <row r="1">
      <c r="A1" s="6" t="s">
        <v>10</v>
      </c>
      <c r="B1" s="8"/>
      <c r="C1" s="8"/>
      <c r="D1" s="8"/>
      <c r="E1" s="8"/>
      <c r="F1" s="8"/>
      <c r="G1" s="10"/>
      <c r="H1" s="12" t="s">
        <v>13</v>
      </c>
      <c r="I1" s="10"/>
      <c r="J1" s="12" t="s">
        <v>17</v>
      </c>
      <c r="K1" s="10"/>
      <c r="L1" s="12" t="s">
        <v>18</v>
      </c>
      <c r="M1" s="14"/>
    </row>
    <row r="2">
      <c r="A2" s="15"/>
      <c r="G2" s="16"/>
      <c r="H2" s="17"/>
      <c r="I2" s="16"/>
      <c r="J2" s="17"/>
      <c r="K2" s="16"/>
      <c r="L2" s="17"/>
      <c r="M2" s="18"/>
    </row>
    <row r="3">
      <c r="A3" s="15"/>
      <c r="G3" s="16"/>
      <c r="H3" s="17"/>
      <c r="I3" s="16"/>
      <c r="J3" s="17"/>
      <c r="K3" s="16"/>
      <c r="L3" s="17"/>
      <c r="M3" s="18"/>
    </row>
    <row r="4">
      <c r="A4" s="15"/>
      <c r="G4" s="16"/>
      <c r="H4" s="17"/>
      <c r="I4" s="16"/>
      <c r="J4" s="17"/>
      <c r="K4" s="16"/>
      <c r="L4" s="17"/>
      <c r="M4" s="18"/>
    </row>
    <row r="5">
      <c r="A5" s="15"/>
      <c r="G5" s="16"/>
      <c r="H5" s="17"/>
      <c r="I5" s="16"/>
      <c r="J5" s="17"/>
      <c r="K5" s="16"/>
      <c r="L5" s="17"/>
      <c r="M5" s="18"/>
    </row>
    <row r="6">
      <c r="A6" s="20"/>
      <c r="B6" s="21"/>
      <c r="C6" s="21"/>
      <c r="D6" s="21"/>
      <c r="E6" s="21"/>
      <c r="F6" s="21"/>
      <c r="G6" s="22"/>
      <c r="H6" s="23"/>
      <c r="I6" s="22"/>
      <c r="J6" s="23"/>
      <c r="K6" s="22"/>
      <c r="L6" s="23"/>
      <c r="M6" s="25"/>
    </row>
    <row r="7">
      <c r="A7" s="26" t="s">
        <v>20</v>
      </c>
      <c r="B7" s="9" t="s">
        <v>21</v>
      </c>
      <c r="C7" s="9" t="s">
        <v>22</v>
      </c>
      <c r="D7" s="9" t="s">
        <v>23</v>
      </c>
      <c r="E7" s="9" t="s">
        <v>24</v>
      </c>
      <c r="F7" s="9" t="s">
        <v>25</v>
      </c>
      <c r="G7" s="9" t="s">
        <v>26</v>
      </c>
      <c r="H7" s="9" t="s">
        <v>27</v>
      </c>
      <c r="I7" s="9" t="s">
        <v>28</v>
      </c>
      <c r="J7" s="9" t="s">
        <v>27</v>
      </c>
      <c r="K7" s="9" t="s">
        <v>28</v>
      </c>
      <c r="L7" s="9" t="s">
        <v>27</v>
      </c>
      <c r="M7" s="27" t="s">
        <v>28</v>
      </c>
    </row>
    <row r="8">
      <c r="A8" s="29"/>
      <c r="B8" s="30" t="s">
        <v>30</v>
      </c>
      <c r="C8" s="31"/>
      <c r="D8" s="31"/>
      <c r="E8" s="31"/>
      <c r="F8" s="31"/>
      <c r="G8" s="31"/>
      <c r="H8" s="32"/>
      <c r="I8" s="32"/>
      <c r="J8" s="32"/>
      <c r="K8" s="32"/>
      <c r="L8" s="32"/>
      <c r="M8" s="33"/>
    </row>
    <row r="9">
      <c r="A9" s="34">
        <v>1.0</v>
      </c>
      <c r="B9" s="31">
        <v>9.1538204E7</v>
      </c>
      <c r="C9" s="31"/>
      <c r="D9" s="30" t="s">
        <v>32</v>
      </c>
      <c r="E9" s="31"/>
      <c r="F9" s="30">
        <v>1.0</v>
      </c>
      <c r="G9" s="30" t="s">
        <v>33</v>
      </c>
      <c r="H9" s="32"/>
      <c r="I9" s="35">
        <v>55000.0</v>
      </c>
      <c r="J9" s="32"/>
      <c r="K9" s="35">
        <v>57000.0</v>
      </c>
      <c r="L9" s="32"/>
      <c r="M9" s="36">
        <v>58000.0</v>
      </c>
    </row>
    <row r="10">
      <c r="A10" s="34">
        <v>2.0</v>
      </c>
      <c r="B10" s="31">
        <v>1.0475923E7</v>
      </c>
      <c r="C10" s="31"/>
      <c r="D10" s="30" t="s">
        <v>34</v>
      </c>
      <c r="E10" s="31"/>
      <c r="F10" s="30">
        <v>1.0</v>
      </c>
      <c r="G10" s="30" t="s">
        <v>33</v>
      </c>
      <c r="H10" s="32"/>
      <c r="I10" s="35">
        <v>1500.0</v>
      </c>
      <c r="J10" s="32"/>
      <c r="K10" s="35">
        <v>1550.0</v>
      </c>
      <c r="L10" s="32"/>
      <c r="M10" s="36">
        <v>1500.0</v>
      </c>
    </row>
    <row r="11">
      <c r="A11" s="34">
        <v>3.0</v>
      </c>
      <c r="B11" s="31">
        <v>6.3920185E7</v>
      </c>
      <c r="C11" s="31"/>
      <c r="D11" s="31" t="s">
        <v>35</v>
      </c>
      <c r="E11" s="31"/>
      <c r="F11" s="30">
        <v>1.0</v>
      </c>
      <c r="G11" s="30" t="s">
        <v>33</v>
      </c>
      <c r="H11" s="32"/>
      <c r="I11" s="35">
        <v>750.0</v>
      </c>
      <c r="J11" s="32"/>
      <c r="K11" s="35">
        <v>750.0</v>
      </c>
      <c r="L11" s="32"/>
      <c r="M11" s="36">
        <v>775.0</v>
      </c>
    </row>
    <row r="12">
      <c r="A12" s="29"/>
      <c r="B12" s="37" t="s">
        <v>36</v>
      </c>
      <c r="C12" s="38"/>
      <c r="D12" s="38"/>
      <c r="E12" s="38"/>
      <c r="F12" s="38"/>
      <c r="G12" s="7"/>
      <c r="H12" s="39">
        <f>SUM(I9:I11)</f>
        <v>57250</v>
      </c>
      <c r="I12" s="7"/>
      <c r="J12" s="39">
        <f>SUM(K9:K11)</f>
        <v>59300</v>
      </c>
      <c r="K12" s="7"/>
      <c r="L12" s="39">
        <f>SUM(M9:M11)</f>
        <v>60275</v>
      </c>
      <c r="M12" s="40"/>
    </row>
    <row r="13">
      <c r="A13" s="29"/>
      <c r="B13" s="31" t="s">
        <v>37</v>
      </c>
      <c r="C13" s="31"/>
      <c r="D13" s="31"/>
      <c r="E13" s="31"/>
      <c r="F13" s="31"/>
      <c r="G13" s="31"/>
      <c r="H13" s="32"/>
      <c r="I13" s="32"/>
      <c r="J13" s="32"/>
      <c r="K13" s="32"/>
      <c r="L13" s="32"/>
      <c r="M13" s="33"/>
    </row>
    <row r="14">
      <c r="A14" s="34">
        <v>4.0</v>
      </c>
      <c r="B14" s="31">
        <v>3.4691208E7</v>
      </c>
      <c r="C14" s="31"/>
      <c r="D14" s="30" t="s">
        <v>38</v>
      </c>
      <c r="E14" s="31"/>
      <c r="F14" s="30">
        <v>1.0</v>
      </c>
      <c r="G14" s="30" t="s">
        <v>33</v>
      </c>
      <c r="H14" s="32"/>
      <c r="I14" s="35">
        <v>50000.0</v>
      </c>
      <c r="J14" s="32"/>
      <c r="K14" s="35">
        <v>55000.0</v>
      </c>
      <c r="L14" s="32"/>
      <c r="M14" s="36">
        <v>52000.0</v>
      </c>
    </row>
    <row r="15">
      <c r="A15" s="34">
        <v>5.0</v>
      </c>
      <c r="B15" s="31">
        <v>8.9254316E7</v>
      </c>
      <c r="C15" s="31"/>
      <c r="D15" s="30" t="s">
        <v>39</v>
      </c>
      <c r="E15" s="31"/>
      <c r="F15" s="30">
        <v>1.0</v>
      </c>
      <c r="G15" s="30" t="s">
        <v>33</v>
      </c>
      <c r="H15" s="32"/>
      <c r="I15" s="35">
        <v>5000.0</v>
      </c>
      <c r="J15" s="32"/>
      <c r="K15" s="35">
        <v>5000.0</v>
      </c>
      <c r="L15" s="32"/>
      <c r="M15" s="36">
        <v>5000.0</v>
      </c>
    </row>
    <row r="16">
      <c r="A16" s="34">
        <v>6.0</v>
      </c>
      <c r="B16" s="31">
        <v>2.1078964E7</v>
      </c>
      <c r="C16" s="31"/>
      <c r="D16" s="30" t="s">
        <v>40</v>
      </c>
      <c r="E16" s="31"/>
      <c r="F16" s="30">
        <v>1.0</v>
      </c>
      <c r="G16" s="30" t="s">
        <v>33</v>
      </c>
      <c r="H16" s="32"/>
      <c r="I16" s="35">
        <v>15.0</v>
      </c>
      <c r="J16" s="32"/>
      <c r="K16" s="35">
        <v>15.0</v>
      </c>
      <c r="L16" s="32"/>
      <c r="M16" s="36">
        <v>15.0</v>
      </c>
    </row>
    <row r="17">
      <c r="A17" s="34">
        <v>7.0</v>
      </c>
      <c r="B17" s="31">
        <v>6.7431502E7</v>
      </c>
      <c r="C17" s="31"/>
      <c r="D17" s="30" t="s">
        <v>41</v>
      </c>
      <c r="E17" s="31"/>
      <c r="F17" s="30">
        <v>1.0</v>
      </c>
      <c r="G17" s="30" t="s">
        <v>33</v>
      </c>
      <c r="H17" s="32"/>
      <c r="I17" s="35">
        <v>10000.0</v>
      </c>
      <c r="J17" s="32"/>
      <c r="K17" s="35">
        <v>10000.0</v>
      </c>
      <c r="L17" s="32"/>
      <c r="M17" s="36">
        <v>11000.0</v>
      </c>
    </row>
    <row r="18">
      <c r="A18" s="34">
        <v>8.0</v>
      </c>
      <c r="B18" s="31">
        <v>1.5893047E7</v>
      </c>
      <c r="C18" s="31"/>
      <c r="D18" s="30" t="s">
        <v>42</v>
      </c>
      <c r="E18" s="31"/>
      <c r="F18" s="30">
        <v>1.0</v>
      </c>
      <c r="G18" s="30" t="s">
        <v>33</v>
      </c>
      <c r="H18" s="32"/>
      <c r="I18" s="35">
        <v>350.0</v>
      </c>
      <c r="J18" s="32"/>
      <c r="K18" s="35">
        <v>350.0</v>
      </c>
      <c r="L18" s="32"/>
      <c r="M18" s="36">
        <v>350.0</v>
      </c>
    </row>
    <row r="19">
      <c r="A19" s="34">
        <v>9.0</v>
      </c>
      <c r="B19" s="31">
        <v>9.4021853E7</v>
      </c>
      <c r="C19" s="31"/>
      <c r="D19" s="30" t="s">
        <v>43</v>
      </c>
      <c r="E19" s="31"/>
      <c r="F19" s="30">
        <v>1.0</v>
      </c>
      <c r="G19" s="30" t="s">
        <v>33</v>
      </c>
      <c r="H19" s="32"/>
      <c r="I19" s="35">
        <v>2500000.0</v>
      </c>
      <c r="J19" s="32"/>
      <c r="K19" s="35">
        <v>2000000.0</v>
      </c>
      <c r="L19" s="32"/>
      <c r="M19" s="36">
        <v>2500000.0</v>
      </c>
    </row>
    <row r="20">
      <c r="A20" s="34">
        <v>10.0</v>
      </c>
      <c r="B20" s="31">
        <v>3.126749E7</v>
      </c>
      <c r="C20" s="31"/>
      <c r="D20" s="30" t="s">
        <v>45</v>
      </c>
      <c r="E20" s="31"/>
      <c r="F20" s="30">
        <v>1.0</v>
      </c>
      <c r="G20" s="30" t="s">
        <v>33</v>
      </c>
      <c r="H20" s="32"/>
      <c r="I20" s="35">
        <v>4000.0</v>
      </c>
      <c r="J20" s="32"/>
      <c r="K20" s="35">
        <v>3778.0</v>
      </c>
      <c r="L20" s="32"/>
      <c r="M20" s="36">
        <v>4000.0</v>
      </c>
    </row>
    <row r="21">
      <c r="A21" s="34">
        <v>11.0</v>
      </c>
      <c r="B21" s="31">
        <v>5.0819236E7</v>
      </c>
      <c r="C21" s="31"/>
      <c r="D21" s="30" t="s">
        <v>46</v>
      </c>
      <c r="E21" s="31"/>
      <c r="F21" s="30">
        <v>1.0</v>
      </c>
      <c r="G21" s="30" t="s">
        <v>33</v>
      </c>
      <c r="H21" s="32"/>
      <c r="I21" s="35">
        <v>1200.0</v>
      </c>
      <c r="J21" s="32"/>
      <c r="K21" s="35">
        <v>1200.0</v>
      </c>
      <c r="L21" s="32"/>
      <c r="M21" s="36">
        <v>1300.0</v>
      </c>
    </row>
    <row r="22">
      <c r="A22" s="34">
        <v>12.0</v>
      </c>
      <c r="B22" s="31">
        <v>7.2340198E7</v>
      </c>
      <c r="C22" s="31"/>
      <c r="D22" s="30" t="s">
        <v>47</v>
      </c>
      <c r="E22" s="31"/>
      <c r="F22" s="30">
        <v>1.0</v>
      </c>
      <c r="G22" s="30" t="s">
        <v>33</v>
      </c>
      <c r="H22" s="32"/>
      <c r="I22" s="35">
        <v>1200.0</v>
      </c>
      <c r="J22" s="32"/>
      <c r="K22" s="35">
        <v>1200.0</v>
      </c>
      <c r="L22" s="32"/>
      <c r="M22" s="36">
        <v>1200.0</v>
      </c>
    </row>
    <row r="23">
      <c r="A23" s="29"/>
      <c r="B23" s="37" t="s">
        <v>36</v>
      </c>
      <c r="C23" s="38"/>
      <c r="D23" s="38"/>
      <c r="E23" s="38"/>
      <c r="F23" s="38"/>
      <c r="G23" s="7"/>
      <c r="H23" s="42">
        <f>sum(I14:I22)</f>
        <v>2571765</v>
      </c>
      <c r="I23" s="7"/>
      <c r="J23" s="42">
        <f>sum(K14:K22)</f>
        <v>2076543</v>
      </c>
      <c r="K23" s="7"/>
      <c r="L23" s="42">
        <f>sum(M14:M22)</f>
        <v>2574865</v>
      </c>
      <c r="M23" s="40"/>
    </row>
    <row r="24">
      <c r="A24" s="29"/>
      <c r="B24" s="31" t="s">
        <v>48</v>
      </c>
      <c r="C24" s="31"/>
      <c r="D24" s="31"/>
      <c r="E24" s="31"/>
      <c r="F24" s="31"/>
      <c r="G24" s="31"/>
      <c r="H24" s="32"/>
      <c r="I24" s="32"/>
      <c r="J24" s="32"/>
      <c r="K24" s="32"/>
      <c r="L24" s="32"/>
      <c r="M24" s="33"/>
    </row>
    <row r="25">
      <c r="A25" s="34">
        <v>13.0</v>
      </c>
      <c r="B25" s="31">
        <v>1.928436E7</v>
      </c>
      <c r="C25" s="31"/>
      <c r="D25" s="30" t="s">
        <v>49</v>
      </c>
      <c r="E25" s="31"/>
      <c r="F25" s="30">
        <v>1.0</v>
      </c>
      <c r="G25" s="30" t="s">
        <v>33</v>
      </c>
      <c r="H25" s="32"/>
      <c r="I25" s="35">
        <v>1400.0</v>
      </c>
      <c r="J25" s="32"/>
      <c r="K25" s="35">
        <v>1400.0</v>
      </c>
      <c r="L25" s="32"/>
      <c r="M25" s="36">
        <v>1400.0</v>
      </c>
    </row>
    <row r="26">
      <c r="A26" s="34">
        <v>14.0</v>
      </c>
      <c r="B26" s="31">
        <v>6.0517482E7</v>
      </c>
      <c r="C26" s="31"/>
      <c r="D26" s="30" t="s">
        <v>50</v>
      </c>
      <c r="E26" s="31"/>
      <c r="F26" s="30">
        <v>1.0</v>
      </c>
      <c r="G26" s="30" t="s">
        <v>33</v>
      </c>
      <c r="H26" s="32"/>
      <c r="I26" s="35">
        <v>300.0</v>
      </c>
      <c r="J26" s="32"/>
      <c r="K26" s="35">
        <v>300.0</v>
      </c>
      <c r="L26" s="32"/>
      <c r="M26" s="36">
        <v>400.0</v>
      </c>
    </row>
    <row r="27">
      <c r="A27" s="34">
        <v>15.0</v>
      </c>
      <c r="B27" s="31">
        <v>3.5489012E7</v>
      </c>
      <c r="C27" s="31"/>
      <c r="D27" s="30" t="s">
        <v>51</v>
      </c>
      <c r="E27" s="31"/>
      <c r="F27" s="30">
        <v>1.0</v>
      </c>
      <c r="G27" s="30" t="s">
        <v>33</v>
      </c>
      <c r="H27" s="32"/>
      <c r="I27" s="35">
        <v>800.0</v>
      </c>
      <c r="J27" s="32"/>
      <c r="K27" s="35">
        <v>800.0</v>
      </c>
      <c r="L27" s="32"/>
      <c r="M27" s="36">
        <v>800.0</v>
      </c>
    </row>
    <row r="28">
      <c r="A28" s="34">
        <v>16.0</v>
      </c>
      <c r="B28" s="31">
        <v>7.9021465E7</v>
      </c>
      <c r="C28" s="31"/>
      <c r="D28" s="30" t="s">
        <v>52</v>
      </c>
      <c r="E28" s="31"/>
      <c r="F28" s="30">
        <v>1.0</v>
      </c>
      <c r="G28" s="30" t="s">
        <v>33</v>
      </c>
      <c r="H28" s="32"/>
      <c r="I28" s="35">
        <v>600.0</v>
      </c>
      <c r="J28" s="32"/>
      <c r="K28" s="35">
        <v>575.0</v>
      </c>
      <c r="L28" s="32"/>
      <c r="M28" s="36">
        <v>600.0</v>
      </c>
    </row>
    <row r="29">
      <c r="A29" s="34">
        <v>17.0</v>
      </c>
      <c r="B29" s="31">
        <v>2.4890317E7</v>
      </c>
      <c r="C29" s="31"/>
      <c r="D29" s="30" t="s">
        <v>53</v>
      </c>
      <c r="E29" s="31"/>
      <c r="F29" s="30">
        <v>1.0</v>
      </c>
      <c r="G29" s="30" t="s">
        <v>33</v>
      </c>
      <c r="H29" s="32"/>
      <c r="I29" s="35">
        <v>2500.0</v>
      </c>
      <c r="J29" s="32"/>
      <c r="K29" s="35">
        <v>3500.0</v>
      </c>
      <c r="L29" s="32"/>
      <c r="M29" s="36">
        <v>2500.0</v>
      </c>
    </row>
    <row r="30">
      <c r="A30" s="34">
        <v>18.0</v>
      </c>
      <c r="B30" s="31">
        <v>5.1639408E7</v>
      </c>
      <c r="C30" s="31"/>
      <c r="D30" s="30" t="s">
        <v>54</v>
      </c>
      <c r="E30" s="31"/>
      <c r="F30" s="30">
        <v>1.0</v>
      </c>
      <c r="G30" s="30" t="s">
        <v>33</v>
      </c>
      <c r="H30" s="32"/>
      <c r="I30" s="35">
        <v>400.0</v>
      </c>
      <c r="J30" s="32"/>
      <c r="K30" s="35">
        <v>400.0</v>
      </c>
      <c r="L30" s="32"/>
      <c r="M30" s="36">
        <v>450.0</v>
      </c>
    </row>
    <row r="31">
      <c r="A31" s="34">
        <v>19.0</v>
      </c>
      <c r="B31" s="31">
        <v>9.0312647E7</v>
      </c>
      <c r="C31" s="31"/>
      <c r="D31" s="30" t="s">
        <v>55</v>
      </c>
      <c r="E31" s="31"/>
      <c r="F31" s="30">
        <v>1.0</v>
      </c>
      <c r="G31" s="30" t="s">
        <v>33</v>
      </c>
      <c r="H31" s="32"/>
      <c r="I31" s="35">
        <v>50.0</v>
      </c>
      <c r="J31" s="32"/>
      <c r="K31" s="35">
        <v>50.0</v>
      </c>
      <c r="L31" s="32"/>
      <c r="M31" s="36">
        <v>50.0</v>
      </c>
    </row>
    <row r="32">
      <c r="A32" s="34">
        <v>20.0</v>
      </c>
      <c r="B32" s="31">
        <v>4.2785019E7</v>
      </c>
      <c r="C32" s="31"/>
      <c r="D32" s="43" t="s">
        <v>56</v>
      </c>
      <c r="E32" s="31"/>
      <c r="F32" s="30">
        <v>1.0</v>
      </c>
      <c r="G32" s="30" t="s">
        <v>33</v>
      </c>
      <c r="H32" s="32"/>
      <c r="I32" s="35">
        <v>300.0</v>
      </c>
      <c r="J32" s="32"/>
      <c r="K32" s="35">
        <v>300.0</v>
      </c>
      <c r="L32" s="32"/>
      <c r="M32" s="36">
        <v>450.0</v>
      </c>
    </row>
    <row r="33">
      <c r="A33" s="34">
        <v>21.0</v>
      </c>
      <c r="B33" s="31">
        <v>1.8390246E7</v>
      </c>
      <c r="C33" s="31"/>
      <c r="D33" s="30" t="s">
        <v>57</v>
      </c>
      <c r="E33" s="31"/>
      <c r="F33" s="30">
        <v>1.0</v>
      </c>
      <c r="G33" s="30" t="s">
        <v>33</v>
      </c>
      <c r="H33" s="32"/>
      <c r="I33" s="35">
        <v>4500.0</v>
      </c>
      <c r="J33" s="32"/>
      <c r="K33" s="35">
        <v>4750.0</v>
      </c>
      <c r="L33" s="32"/>
      <c r="M33" s="36">
        <v>4500.0</v>
      </c>
    </row>
    <row r="34">
      <c r="A34" s="34">
        <v>22.0</v>
      </c>
      <c r="B34" s="31">
        <v>6.9204813E7</v>
      </c>
      <c r="C34" s="31"/>
      <c r="D34" s="30" t="s">
        <v>58</v>
      </c>
      <c r="E34" s="31"/>
      <c r="F34" s="30">
        <v>1.0</v>
      </c>
      <c r="G34" s="30" t="s">
        <v>33</v>
      </c>
      <c r="H34" s="32"/>
      <c r="I34" s="35">
        <v>700.0</v>
      </c>
      <c r="J34" s="32"/>
      <c r="K34" s="35">
        <v>700.0</v>
      </c>
      <c r="L34" s="32"/>
      <c r="M34" s="36">
        <v>700.0</v>
      </c>
    </row>
    <row r="35">
      <c r="A35" s="34">
        <v>23.0</v>
      </c>
      <c r="B35" s="31">
        <v>3.0419258E7</v>
      </c>
      <c r="C35" s="31"/>
      <c r="D35" s="30" t="s">
        <v>59</v>
      </c>
      <c r="E35" s="31"/>
      <c r="F35" s="30">
        <v>1.0</v>
      </c>
      <c r="G35" s="30" t="s">
        <v>33</v>
      </c>
      <c r="H35" s="32"/>
      <c r="I35" s="35">
        <v>800.0</v>
      </c>
      <c r="J35" s="32"/>
      <c r="K35" s="35">
        <v>800.0</v>
      </c>
      <c r="L35" s="32"/>
      <c r="M35" s="36">
        <v>997.0</v>
      </c>
    </row>
    <row r="36">
      <c r="A36" s="29"/>
      <c r="B36" s="37" t="s">
        <v>36</v>
      </c>
      <c r="C36" s="38"/>
      <c r="D36" s="38"/>
      <c r="E36" s="38"/>
      <c r="F36" s="38"/>
      <c r="G36" s="7"/>
      <c r="H36" s="39">
        <f>sum(I25:I35)</f>
        <v>12350</v>
      </c>
      <c r="I36" s="7"/>
      <c r="J36" s="39">
        <f>sum(K25:K35)</f>
        <v>13575</v>
      </c>
      <c r="K36" s="7"/>
      <c r="L36" s="39">
        <f>sum(M25:M35)</f>
        <v>12847</v>
      </c>
      <c r="M36" s="40"/>
    </row>
    <row r="37">
      <c r="A37" s="29"/>
      <c r="B37" s="31" t="s">
        <v>60</v>
      </c>
      <c r="C37" s="31"/>
      <c r="D37" s="31"/>
      <c r="E37" s="31"/>
      <c r="F37" s="31"/>
      <c r="G37" s="31"/>
      <c r="H37" s="32"/>
      <c r="I37" s="32"/>
      <c r="J37" s="32"/>
      <c r="K37" s="32"/>
      <c r="L37" s="32"/>
      <c r="M37" s="33"/>
    </row>
    <row r="38">
      <c r="A38" s="34">
        <v>24.0</v>
      </c>
      <c r="B38" s="31">
        <v>2.3958104E7</v>
      </c>
      <c r="C38" s="31"/>
      <c r="D38" s="30" t="s">
        <v>61</v>
      </c>
      <c r="E38" s="31"/>
      <c r="F38" s="30">
        <v>1.0</v>
      </c>
      <c r="G38" s="30" t="s">
        <v>33</v>
      </c>
      <c r="H38" s="32"/>
      <c r="I38" s="35">
        <v>10000.0</v>
      </c>
      <c r="J38" s="32"/>
      <c r="K38" s="35">
        <v>10000.0</v>
      </c>
      <c r="L38" s="32"/>
      <c r="M38" s="36">
        <v>10000.0</v>
      </c>
    </row>
    <row r="39">
      <c r="A39" s="34">
        <v>25.0</v>
      </c>
      <c r="B39" s="31">
        <v>5.6201947E7</v>
      </c>
      <c r="C39" s="31"/>
      <c r="D39" s="30" t="s">
        <v>62</v>
      </c>
      <c r="E39" s="31"/>
      <c r="F39" s="30">
        <v>1.0</v>
      </c>
      <c r="G39" s="30" t="s">
        <v>33</v>
      </c>
      <c r="H39" s="32"/>
      <c r="I39" s="35">
        <v>800.0</v>
      </c>
      <c r="J39" s="32"/>
      <c r="K39" s="35">
        <v>800.0</v>
      </c>
      <c r="L39" s="32"/>
      <c r="M39" s="36">
        <v>800.0</v>
      </c>
    </row>
    <row r="40">
      <c r="A40" s="34">
        <v>26.0</v>
      </c>
      <c r="B40" s="31">
        <v>4.1083925E7</v>
      </c>
      <c r="C40" s="31"/>
      <c r="D40" s="30" t="s">
        <v>63</v>
      </c>
      <c r="E40" s="31"/>
      <c r="F40" s="30">
        <v>1.0</v>
      </c>
      <c r="G40" s="30" t="s">
        <v>33</v>
      </c>
      <c r="H40" s="32"/>
      <c r="I40" s="35">
        <v>3000.0</v>
      </c>
      <c r="J40" s="32"/>
      <c r="K40" s="35">
        <v>3600.0</v>
      </c>
      <c r="L40" s="32"/>
      <c r="M40" s="36">
        <v>4000.0</v>
      </c>
    </row>
    <row r="41">
      <c r="A41" s="34">
        <v>27.0</v>
      </c>
      <c r="B41" s="31">
        <v>9.8710342E7</v>
      </c>
      <c r="C41" s="31"/>
      <c r="D41" s="30" t="s">
        <v>64</v>
      </c>
      <c r="E41" s="31"/>
      <c r="F41" s="30">
        <v>1.0</v>
      </c>
      <c r="G41" s="30" t="s">
        <v>33</v>
      </c>
      <c r="H41" s="32"/>
      <c r="I41" s="35">
        <v>400.0</v>
      </c>
      <c r="J41" s="32"/>
      <c r="K41" s="35">
        <v>400.0</v>
      </c>
      <c r="L41" s="32"/>
      <c r="M41" s="36">
        <v>400.0</v>
      </c>
    </row>
    <row r="42">
      <c r="A42" s="29"/>
      <c r="B42" s="37" t="s">
        <v>36</v>
      </c>
      <c r="C42" s="38"/>
      <c r="D42" s="38"/>
      <c r="E42" s="38"/>
      <c r="F42" s="38"/>
      <c r="G42" s="7"/>
      <c r="H42" s="39">
        <f>sum(I38:I41)</f>
        <v>14200</v>
      </c>
      <c r="I42" s="7"/>
      <c r="J42" s="39">
        <f>sum(K38:K41)</f>
        <v>14800</v>
      </c>
      <c r="K42" s="7"/>
      <c r="L42" s="39">
        <f>sum(M38:M41)</f>
        <v>15200</v>
      </c>
      <c r="M42" s="40"/>
    </row>
    <row r="43">
      <c r="A43" s="29"/>
      <c r="B43" s="30" t="s">
        <v>65</v>
      </c>
      <c r="C43" s="31"/>
      <c r="D43" s="31"/>
      <c r="E43" s="31"/>
      <c r="F43" s="31"/>
      <c r="G43" s="31"/>
      <c r="H43" s="32"/>
      <c r="I43" s="32"/>
      <c r="J43" s="32"/>
      <c r="K43" s="32"/>
      <c r="L43" s="32"/>
      <c r="M43" s="33"/>
    </row>
    <row r="44">
      <c r="A44" s="34">
        <v>28.0</v>
      </c>
      <c r="B44" s="31">
        <v>3.2158094E7</v>
      </c>
      <c r="C44" s="31"/>
      <c r="D44" s="30" t="s">
        <v>66</v>
      </c>
      <c r="E44" s="31"/>
      <c r="F44" s="30">
        <v>400.0</v>
      </c>
      <c r="G44" s="30" t="s">
        <v>67</v>
      </c>
      <c r="H44" s="41" t="s">
        <v>68</v>
      </c>
      <c r="I44" s="35">
        <v>24000.0</v>
      </c>
      <c r="J44" s="41" t="s">
        <v>68</v>
      </c>
      <c r="K44" s="35">
        <v>24000.0</v>
      </c>
      <c r="L44" s="41" t="s">
        <v>68</v>
      </c>
      <c r="M44" s="36">
        <v>24000.0</v>
      </c>
    </row>
    <row r="45">
      <c r="A45" s="44"/>
      <c r="B45" s="45" t="s">
        <v>36</v>
      </c>
      <c r="C45" s="46"/>
      <c r="D45" s="46"/>
      <c r="E45" s="46"/>
      <c r="F45" s="46"/>
      <c r="G45" s="47"/>
      <c r="H45" s="48">
        <f>sum(I44)</f>
        <v>24000</v>
      </c>
      <c r="I45" s="47"/>
      <c r="J45" s="48">
        <f>sum(K44)</f>
        <v>24000</v>
      </c>
      <c r="K45" s="47"/>
      <c r="L45" s="48">
        <f>sum(M44)</f>
        <v>24000</v>
      </c>
      <c r="M45" s="49"/>
    </row>
    <row r="46">
      <c r="A46" s="50"/>
      <c r="B46" s="51" t="s">
        <v>69</v>
      </c>
      <c r="C46" s="52"/>
      <c r="D46" s="52"/>
      <c r="E46" s="52"/>
      <c r="F46" s="52"/>
      <c r="G46" s="53"/>
      <c r="H46" s="54">
        <f>H12+H23+H36+H42</f>
        <v>2655565</v>
      </c>
      <c r="I46" s="53"/>
      <c r="J46" s="54">
        <f>J12+J23+J36+J42</f>
        <v>2164218</v>
      </c>
      <c r="K46" s="53"/>
      <c r="L46" s="54">
        <f>L12+L23+L36+L42</f>
        <v>2663187</v>
      </c>
      <c r="M46" s="55"/>
    </row>
    <row r="47">
      <c r="A47" s="29"/>
      <c r="B47" s="56" t="s">
        <v>70</v>
      </c>
      <c r="C47" s="38"/>
      <c r="D47" s="38"/>
      <c r="E47" s="38"/>
      <c r="F47" s="38"/>
      <c r="G47" s="7"/>
      <c r="H47" s="39">
        <f>H45</f>
        <v>24000</v>
      </c>
      <c r="I47" s="7"/>
      <c r="J47" s="39">
        <f>J45</f>
        <v>24000</v>
      </c>
      <c r="K47" s="7"/>
      <c r="L47" s="39">
        <f>L45</f>
        <v>24000</v>
      </c>
      <c r="M47" s="40"/>
    </row>
    <row r="48">
      <c r="A48" s="29"/>
      <c r="B48" s="56" t="s">
        <v>71</v>
      </c>
      <c r="C48" s="38"/>
      <c r="D48" s="38"/>
      <c r="E48" s="38"/>
      <c r="F48" s="38"/>
      <c r="G48" s="7"/>
      <c r="H48" s="39">
        <f>H46+H47</f>
        <v>2679565</v>
      </c>
      <c r="I48" s="7"/>
      <c r="J48" s="39">
        <f>J46+J47</f>
        <v>2188218</v>
      </c>
      <c r="K48" s="7"/>
      <c r="L48" s="39">
        <f>L46+L47</f>
        <v>2687187</v>
      </c>
      <c r="M48" s="40"/>
    </row>
    <row r="49">
      <c r="A49" s="58"/>
      <c r="B49" s="59" t="s">
        <v>72</v>
      </c>
      <c r="C49" s="60"/>
      <c r="D49" s="60"/>
      <c r="E49" s="60"/>
      <c r="F49" s="60"/>
      <c r="G49" s="61"/>
      <c r="H49" s="62"/>
      <c r="I49" s="61"/>
      <c r="J49" s="63">
        <f>J48/H48</f>
        <v>0.816631804</v>
      </c>
      <c r="K49" s="61"/>
      <c r="L49" s="63">
        <f>L48/H48</f>
        <v>1.002844492</v>
      </c>
      <c r="M49" s="65"/>
    </row>
  </sheetData>
  <mergeCells count="40">
    <mergeCell ref="A1:G6"/>
    <mergeCell ref="H1:I6"/>
    <mergeCell ref="J1:K6"/>
    <mergeCell ref="L1:M6"/>
    <mergeCell ref="H12:I12"/>
    <mergeCell ref="J12:K12"/>
    <mergeCell ref="L12:M12"/>
    <mergeCell ref="J36:K36"/>
    <mergeCell ref="L36:M36"/>
    <mergeCell ref="B12:G12"/>
    <mergeCell ref="B23:G23"/>
    <mergeCell ref="H23:I23"/>
    <mergeCell ref="J23:K23"/>
    <mergeCell ref="L23:M23"/>
    <mergeCell ref="B36:G36"/>
    <mergeCell ref="H36:I36"/>
    <mergeCell ref="B42:G42"/>
    <mergeCell ref="H42:I42"/>
    <mergeCell ref="J42:K42"/>
    <mergeCell ref="L42:M42"/>
    <mergeCell ref="H45:I45"/>
    <mergeCell ref="J45:K45"/>
    <mergeCell ref="L45:M45"/>
    <mergeCell ref="J47:K47"/>
    <mergeCell ref="L47:M47"/>
    <mergeCell ref="B48:G48"/>
    <mergeCell ref="H48:I48"/>
    <mergeCell ref="J48:K48"/>
    <mergeCell ref="L48:M48"/>
    <mergeCell ref="B49:G49"/>
    <mergeCell ref="H49:I49"/>
    <mergeCell ref="J49:K49"/>
    <mergeCell ref="L49:M49"/>
    <mergeCell ref="B45:G45"/>
    <mergeCell ref="B46:G46"/>
    <mergeCell ref="H46:I46"/>
    <mergeCell ref="J46:K46"/>
    <mergeCell ref="L46:M46"/>
    <mergeCell ref="B47:G47"/>
    <mergeCell ref="H47:I47"/>
  </mergeCells>
  <drawing r:id="rId1"/>
</worksheet>
</file>